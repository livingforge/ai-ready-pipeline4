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改訂履歴" sheetId="2" state="visible" r:id="rId2"/>
    <sheet name="1.前提" sheetId="3" state="visible" r:id="rId3"/>
    <sheet name="2.月次推移" sheetId="4" state="visible" r:id="rId4"/>
    <sheet name="3.保管量" sheetId="5" state="visible" r:id="rId5"/>
    <sheet name="4.GPU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ＭＳ Ｐゴシック"/>
      <sz val="12"/>
    </font>
    <font>
      <name val="ＭＳ Ｐゴシック"/>
      <b val="1"/>
      <sz val="14"/>
    </font>
    <font>
      <name val="ＭＳ Ｐゴシック"/>
      <b val="1"/>
      <sz val="18"/>
    </font>
    <font>
      <name val="ＭＳ Ｐゴシック"/>
      <sz val="9"/>
    </font>
    <font>
      <name val="ＭＳ Ｐゴシック"/>
      <b val="1"/>
      <sz val="9"/>
    </font>
    <font>
      <name val="ＭＳ Ｐゴシック"/>
      <b val="1"/>
      <sz val="11"/>
    </font>
    <font>
      <name val="ＭＳ Ｐゴシック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チャンク数の推移（累計・千チャンク）</a:t>
            </a:r>
          </a:p>
        </rich>
      </tx>
    </title>
    <plotArea>
      <lineChart>
        <grouping val="standard"/>
        <ser>
          <idx val="0"/>
          <order val="0"/>
          <tx>
            <strRef>
              <f>'2.月次推移'!C5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'2.月次推移'!$B$6:$B$14</f>
            </numRef>
          </cat>
          <val>
            <numRef>
              <f>'2.月次推移'!$C$6:$C$14</f>
            </numRef>
          </val>
        </ser>
        <ser>
          <idx val="1"/>
          <order val="1"/>
          <tx>
            <strRef>
              <f>'2.月次推移'!D5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'2.月次推移'!$B$6:$B$14</f>
            </numRef>
          </cat>
          <val>
            <numRef>
              <f>'2.月次推移'!$D$6:$D$14</f>
            </numRef>
          </val>
        </ser>
        <ser>
          <idx val="2"/>
          <order val="2"/>
          <tx>
            <strRef>
              <f>'2.月次推移'!E5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'2.月次推移'!$B$6:$B$14</f>
            </numRef>
          </cat>
          <val>
            <numRef>
              <f>'2.月次推移'!$E$6:$E$14</f>
            </numRef>
          </val>
        </ser>
        <ser>
          <idx val="3"/>
          <order val="3"/>
          <tx>
            <strRef>
              <f>'2.月次推移'!F5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'2.月次推移'!$B$6:$B$14</f>
            </numRef>
          </cat>
          <val>
            <numRef>
              <f>'2.月次推移'!$F$6:$F$14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年月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千チャンク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ベクトルの保管量（GB）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'3.保管量'!D4</f>
            </strRef>
          </tx>
          <spPr>
            <a:ln>
              <a:prstDash val="solid"/>
            </a:ln>
          </spPr>
          <cat>
            <numRef>
              <f>'3.保管量'!$B$5:$B$7</f>
            </numRef>
          </cat>
          <val>
            <numRef>
              <f>'3.保管量'!$D$5:$D$7</f>
            </numRef>
          </val>
        </ser>
        <ser>
          <idx val="1"/>
          <order val="1"/>
          <tx>
            <strRef>
              <f>'3.保管量'!E4</f>
            </strRef>
          </tx>
          <spPr>
            <a:ln>
              <a:prstDash val="solid"/>
            </a:ln>
          </spPr>
          <cat>
            <numRef>
              <f>'3.保管量'!$B$5:$B$7</f>
            </numRef>
          </cat>
          <val>
            <numRef>
              <f>'3.保管量'!$E$5:$E$7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3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3">
      <c r="B3" s="1" t="inlineStr">
        <is>
          <t>アダタム工業株式会社　デジタル基盤本部</t>
        </is>
      </c>
    </row>
    <row r="6">
      <c r="B6" s="2" t="inlineStr">
        <is>
          <t>社内エンベディング基盤 Kotonoha</t>
        </is>
      </c>
    </row>
    <row r="8" ht="30" customHeight="1">
      <c r="B8" s="3" t="inlineStr">
        <is>
          <t>キャパシティ試算</t>
        </is>
      </c>
    </row>
    <row r="9" ht="30" customHeight="1"/>
    <row r="12" ht="20" customHeight="1">
      <c r="C12" s="4" t="inlineStr">
        <is>
          <t>版数</t>
        </is>
      </c>
      <c r="D12" s="5" t="inlineStr">
        <is>
          <t>第 2.0 版</t>
        </is>
      </c>
      <c r="E12" s="6" t="n"/>
      <c r="F12" s="6" t="n"/>
    </row>
    <row r="13" ht="20" customHeight="1">
      <c r="C13" s="4" t="inlineStr">
        <is>
          <t>作成年月日</t>
        </is>
      </c>
      <c r="D13" s="5" t="inlineStr">
        <is>
          <t>2026/06/15</t>
        </is>
      </c>
      <c r="E13" s="6" t="n"/>
      <c r="F13" s="6" t="n"/>
    </row>
    <row r="14" ht="20" customHeight="1">
      <c r="C14" s="4" t="inlineStr">
        <is>
          <t>起案部門</t>
        </is>
      </c>
      <c r="D14" s="5" t="inlineStr">
        <is>
          <t>デジタル基盤本部 AI基盤グループ</t>
        </is>
      </c>
      <c r="E14" s="6" t="n"/>
      <c r="F14" s="6" t="n"/>
    </row>
    <row r="15" ht="20" customHeight="1">
      <c r="C15" s="4" t="inlineStr">
        <is>
          <t>起案者</t>
        </is>
      </c>
      <c r="D15" s="5" t="inlineStr">
        <is>
          <t>小島</t>
        </is>
      </c>
      <c r="E15" s="6" t="n"/>
      <c r="F15" s="6" t="n"/>
    </row>
    <row r="18">
      <c r="C18" s="7" t="inlineStr">
        <is>
          <t>決裁</t>
        </is>
      </c>
      <c r="D18" s="8" t="inlineStr">
        <is>
          <t>本部長</t>
        </is>
      </c>
      <c r="E18" s="8" t="inlineStr">
        <is>
          <t>部長</t>
        </is>
      </c>
      <c r="F18" s="8" t="inlineStr">
        <is>
          <t>課長</t>
        </is>
      </c>
    </row>
    <row r="19" ht="44" customHeight="1">
      <c r="C19" s="6" t="inlineStr"/>
      <c r="D19" s="6" t="n"/>
      <c r="E19" s="6" t="n"/>
      <c r="F19" s="6" t="n"/>
    </row>
  </sheetData>
  <mergeCells count="7">
    <mergeCell ref="D13:F13"/>
    <mergeCell ref="D14:F14"/>
    <mergeCell ref="B6:F6"/>
    <mergeCell ref="B8:F9"/>
    <mergeCell ref="B3:F3"/>
    <mergeCell ref="D12:F12"/>
    <mergeCell ref="D15:F15"/>
  </mergeCells>
  <pageMargins left="0.75" right="0.75" top="1" bottom="1" header="0.5" footer="0.5"/>
  <pageSetup orientation="portrait" paperSize="9" fitToHeight="0" fitToWidth="1"/>
  <headerFooter>
    <oddHeader/>
    <oddFooter>&amp;Lキャパシティ試算&amp;R&amp;P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6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12" customWidth="1" min="3" max="3"/>
    <col width="70" customWidth="1" min="4" max="4"/>
    <col width="10" customWidth="1" min="5" max="5"/>
  </cols>
  <sheetData>
    <row r="2">
      <c r="B2" s="9" t="inlineStr">
        <is>
          <t>改訂履歴</t>
        </is>
      </c>
    </row>
    <row r="4" ht="24" customHeight="1">
      <c r="B4" s="8" t="inlineStr">
        <is>
          <t>版数</t>
        </is>
      </c>
      <c r="C4" s="8" t="inlineStr">
        <is>
          <t>改訂日</t>
        </is>
      </c>
      <c r="D4" s="8" t="inlineStr">
        <is>
          <t>改訂内容</t>
        </is>
      </c>
      <c r="E4" s="8" t="inlineStr">
        <is>
          <t>改訂者</t>
        </is>
      </c>
    </row>
    <row r="5">
      <c r="B5" s="10" t="inlineStr">
        <is>
          <t>1.0</t>
        </is>
      </c>
      <c r="C5" s="10" t="inlineStr">
        <is>
          <t>2026/02/10</t>
        </is>
      </c>
      <c r="D5" s="10" t="inlineStr">
        <is>
          <t>初版作成（稟議の添付）</t>
        </is>
      </c>
      <c r="E5" s="10" t="inlineStr">
        <is>
          <t>小島</t>
        </is>
      </c>
    </row>
    <row r="6">
      <c r="B6" s="10" t="inlineStr">
        <is>
          <t>2.0</t>
        </is>
      </c>
      <c r="C6" s="10" t="inlineStr">
        <is>
          <t>2026/06/15</t>
        </is>
      </c>
      <c r="D6" s="10" t="inlineStr">
        <is>
          <t>品質保証部の実績が試算の 3 倍だったため見直し</t>
        </is>
      </c>
      <c r="E6" s="10" t="inlineStr">
        <is>
          <t>小島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&amp;Lキャパシティ試算&amp;R&amp;P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70" customWidth="1" min="3" max="3"/>
  </cols>
  <sheetData>
    <row r="2">
      <c r="B2" s="9" t="inlineStr">
        <is>
          <t>1. 試算の前提</t>
        </is>
      </c>
    </row>
    <row r="4">
      <c r="B4" s="11" t="inlineStr">
        <is>
          <t>分割単位</t>
        </is>
      </c>
      <c r="C4" s="10" t="inlineStr">
        <is>
          <t>512 トークン（オーバーラップ 64 トークン）</t>
        </is>
      </c>
    </row>
    <row r="5">
      <c r="B5" s="11" t="inlineStr">
        <is>
          <t>1 チャンクの平均</t>
        </is>
      </c>
      <c r="C5" s="10" t="inlineStr">
        <is>
          <t>本文 700 文字 / ベクトル 1024 次元</t>
        </is>
      </c>
    </row>
    <row r="6">
      <c r="B6" s="11" t="inlineStr">
        <is>
          <t>ベクトルの保管量</t>
        </is>
      </c>
      <c r="C6" s="10" t="inlineStr">
        <is>
          <t>1024 次元 × 4 バイト = 4KB/チャンク（float の場合）</t>
        </is>
      </c>
    </row>
    <row r="7">
      <c r="B7" s="11" t="inlineStr">
        <is>
          <t>索引の膨らみ</t>
        </is>
      </c>
      <c r="C7" s="10" t="inlineStr">
        <is>
          <t>HNSW で本体の約 1.5 倍</t>
        </is>
      </c>
    </row>
    <row r="8">
      <c r="B8" s="11" t="inlineStr">
        <is>
          <t>原文の保管</t>
        </is>
      </c>
      <c r="C8" s="10" t="inlineStr">
        <is>
          <t>オブジェクトストア。本試算には含めない</t>
        </is>
      </c>
    </row>
    <row r="9">
      <c r="B9" s="11" t="inlineStr">
        <is>
          <t>外部 API の単価</t>
        </is>
      </c>
      <c r="C9" s="10" t="inlineStr">
        <is>
          <t>提供元の請求実績から翌月に按分（ADR-008）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&amp;Lキャパシティ試算&amp;R&amp;P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G1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2">
      <c r="B2" s="9" t="inlineStr">
        <is>
          <t>2. チャンク数の推移（実績と見込み）</t>
        </is>
      </c>
    </row>
    <row r="4">
      <c r="B4" s="11" t="inlineStr">
        <is>
          <t>単位: 千チャンク（累計）</t>
        </is>
      </c>
      <c r="C4" s="6" t="n"/>
      <c r="D4" s="6" t="n"/>
      <c r="E4" s="6" t="n"/>
      <c r="F4" s="6" t="n"/>
      <c r="G4" s="6" t="n"/>
    </row>
    <row r="5" ht="24" customHeight="1">
      <c r="B5" s="8" t="inlineStr">
        <is>
          <t>年月</t>
        </is>
      </c>
      <c r="C5" s="8" t="inlineStr">
        <is>
          <t>カスタマーサポート部</t>
        </is>
      </c>
      <c r="D5" s="8" t="inlineStr">
        <is>
          <t>品質保証部</t>
        </is>
      </c>
      <c r="E5" s="8" t="inlineStr">
        <is>
          <t>法務部</t>
        </is>
      </c>
      <c r="F5" s="8" t="inlineStr">
        <is>
          <t>営業本部</t>
        </is>
      </c>
      <c r="G5" s="8" t="inlineStr">
        <is>
          <t>合計</t>
        </is>
      </c>
    </row>
    <row r="6">
      <c r="B6" s="10" t="inlineStr">
        <is>
          <t>2026/04</t>
        </is>
      </c>
      <c r="C6" s="12" t="inlineStr">
        <is>
          <t>180</t>
        </is>
      </c>
      <c r="D6" s="12" t="inlineStr">
        <is>
          <t>420</t>
        </is>
      </c>
      <c r="E6" s="12" t="inlineStr">
        <is>
          <t>0</t>
        </is>
      </c>
      <c r="F6" s="12" t="inlineStr">
        <is>
          <t>0</t>
        </is>
      </c>
      <c r="G6" s="12" t="inlineStr">
        <is>
          <t>600</t>
        </is>
      </c>
    </row>
    <row r="7">
      <c r="B7" s="10" t="inlineStr">
        <is>
          <t>2026/05</t>
        </is>
      </c>
      <c r="C7" s="12" t="inlineStr">
        <is>
          <t>220</t>
        </is>
      </c>
      <c r="D7" s="12" t="inlineStr">
        <is>
          <t>1180</t>
        </is>
      </c>
      <c r="E7" s="12" t="inlineStr">
        <is>
          <t>0</t>
        </is>
      </c>
      <c r="F7" s="12" t="inlineStr">
        <is>
          <t>0</t>
        </is>
      </c>
      <c r="G7" s="12" t="inlineStr">
        <is>
          <t>1400</t>
        </is>
      </c>
    </row>
    <row r="8">
      <c r="B8" s="10" t="inlineStr">
        <is>
          <t>2026/06</t>
        </is>
      </c>
      <c r="C8" s="12" t="inlineStr">
        <is>
          <t>260</t>
        </is>
      </c>
      <c r="D8" s="12" t="inlineStr">
        <is>
          <t>2040</t>
        </is>
      </c>
      <c r="E8" s="12" t="inlineStr">
        <is>
          <t>42</t>
        </is>
      </c>
      <c r="F8" s="12" t="inlineStr">
        <is>
          <t>0</t>
        </is>
      </c>
      <c r="G8" s="12" t="inlineStr">
        <is>
          <t>2342</t>
        </is>
      </c>
    </row>
    <row r="9">
      <c r="B9" s="10" t="inlineStr">
        <is>
          <t>2026/07</t>
        </is>
      </c>
      <c r="C9" s="12" t="inlineStr">
        <is>
          <t>300</t>
        </is>
      </c>
      <c r="D9" s="12" t="inlineStr">
        <is>
          <t>2300</t>
        </is>
      </c>
      <c r="E9" s="12" t="inlineStr">
        <is>
          <t>60</t>
        </is>
      </c>
      <c r="F9" s="12" t="inlineStr">
        <is>
          <t>85</t>
        </is>
      </c>
      <c r="G9" s="12" t="inlineStr">
        <is>
          <t>2745</t>
        </is>
      </c>
    </row>
    <row r="10">
      <c r="B10" s="10" t="inlineStr">
        <is>
          <t>2026/08</t>
        </is>
      </c>
      <c r="C10" s="12" t="inlineStr">
        <is>
          <t>340</t>
        </is>
      </c>
      <c r="D10" s="12" t="inlineStr">
        <is>
          <t>2500</t>
        </is>
      </c>
      <c r="E10" s="12" t="inlineStr">
        <is>
          <t>78</t>
        </is>
      </c>
      <c r="F10" s="12" t="inlineStr">
        <is>
          <t>140</t>
        </is>
      </c>
      <c r="G10" s="12" t="inlineStr">
        <is>
          <t>3058</t>
        </is>
      </c>
    </row>
    <row r="11">
      <c r="B11" s="10" t="inlineStr">
        <is>
          <t>2026/09</t>
        </is>
      </c>
      <c r="C11" s="12" t="inlineStr">
        <is>
          <t>380</t>
        </is>
      </c>
      <c r="D11" s="12" t="inlineStr">
        <is>
          <t>2700</t>
        </is>
      </c>
      <c r="E11" s="12" t="inlineStr">
        <is>
          <t>96</t>
        </is>
      </c>
      <c r="F11" s="12" t="inlineStr">
        <is>
          <t>195</t>
        </is>
      </c>
      <c r="G11" s="12" t="inlineStr">
        <is>
          <t>3371</t>
        </is>
      </c>
    </row>
    <row r="12">
      <c r="B12" s="10" t="inlineStr">
        <is>
          <t>2026/10</t>
        </is>
      </c>
      <c r="C12" s="12" t="inlineStr">
        <is>
          <t>420</t>
        </is>
      </c>
      <c r="D12" s="12" t="inlineStr">
        <is>
          <t>2900</t>
        </is>
      </c>
      <c r="E12" s="12" t="inlineStr">
        <is>
          <t>114</t>
        </is>
      </c>
      <c r="F12" s="12" t="inlineStr">
        <is>
          <t>250</t>
        </is>
      </c>
      <c r="G12" s="12" t="inlineStr">
        <is>
          <t>3684</t>
        </is>
      </c>
    </row>
    <row r="13">
      <c r="B13" s="10" t="inlineStr">
        <is>
          <t>2026/11</t>
        </is>
      </c>
      <c r="C13" s="12" t="inlineStr">
        <is>
          <t>460</t>
        </is>
      </c>
      <c r="D13" s="12" t="inlineStr">
        <is>
          <t>3100</t>
        </is>
      </c>
      <c r="E13" s="12" t="inlineStr">
        <is>
          <t>132</t>
        </is>
      </c>
      <c r="F13" s="12" t="inlineStr">
        <is>
          <t>305</t>
        </is>
      </c>
      <c r="G13" s="12" t="inlineStr">
        <is>
          <t>3997</t>
        </is>
      </c>
    </row>
    <row r="14">
      <c r="B14" s="10" t="inlineStr">
        <is>
          <t>2026/12</t>
        </is>
      </c>
      <c r="C14" s="12" t="inlineStr">
        <is>
          <t>500</t>
        </is>
      </c>
      <c r="D14" s="12" t="inlineStr">
        <is>
          <t>3300</t>
        </is>
      </c>
      <c r="E14" s="12" t="inlineStr">
        <is>
          <t>150</t>
        </is>
      </c>
      <c r="F14" s="12" t="inlineStr">
        <is>
          <t>360</t>
        </is>
      </c>
      <c r="G14" s="12" t="inlineStr">
        <is>
          <t>4310</t>
        </is>
      </c>
    </row>
  </sheetData>
  <mergeCells count="1">
    <mergeCell ref="B4:G4"/>
  </mergeCells>
  <pageMargins left="0.75" right="0.75" top="1" bottom="1" header="0.5" footer="0.5"/>
  <pageSetup orientation="landscape" paperSize="9" fitToHeight="0" fitToWidth="1"/>
  <headerFooter>
    <oddHeader/>
    <oddFooter>&amp;Lキャパシティ試算&amp;R&amp;P /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G10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4" customWidth="1" min="3" max="3"/>
    <col width="18" customWidth="1" min="4" max="4"/>
    <col width="18" customWidth="1" min="5" max="5"/>
    <col width="18" customWidth="1" min="6" max="6"/>
    <col width="30" customWidth="1" min="7" max="7"/>
  </cols>
  <sheetData>
    <row r="2">
      <c r="B2" s="9" t="inlineStr">
        <is>
          <t>3. 保管量の見込み</t>
        </is>
      </c>
    </row>
    <row r="4" ht="24" customHeight="1">
      <c r="B4" s="8" t="inlineStr">
        <is>
          <t>時点</t>
        </is>
      </c>
      <c r="C4" s="8" t="inlineStr">
        <is>
          <t>チャンク数</t>
        </is>
      </c>
      <c r="D4" s="8" t="inlineStr">
        <is>
          <t>ベクトル（float）</t>
        </is>
      </c>
      <c r="E4" s="8" t="inlineStr">
        <is>
          <t>ベクトル（int8）</t>
        </is>
      </c>
      <c r="F4" s="8" t="inlineStr">
        <is>
          <t>索引込み（int8）</t>
        </is>
      </c>
      <c r="G4" s="8" t="inlineStr">
        <is>
          <t>備考</t>
        </is>
      </c>
    </row>
    <row r="5">
      <c r="B5" s="10" t="inlineStr">
        <is>
          <t>2026/06 実績</t>
        </is>
      </c>
      <c r="C5" s="12" t="inlineStr">
        <is>
          <t>2,342 千</t>
        </is>
      </c>
      <c r="D5" s="12" t="inlineStr">
        <is>
          <t>9.4 GB</t>
        </is>
      </c>
      <c r="E5" s="12" t="inlineStr">
        <is>
          <t>2.3 GB</t>
        </is>
      </c>
      <c r="F5" s="12" t="inlineStr">
        <is>
          <t>3.5 GB</t>
        </is>
      </c>
      <c r="G5" s="10" t="inlineStr">
        <is>
          <t>6/3 に量子化の詰め替え完了</t>
        </is>
      </c>
    </row>
    <row r="6">
      <c r="B6" s="10" t="inlineStr">
        <is>
          <t>2026/12 見込み</t>
        </is>
      </c>
      <c r="C6" s="12" t="inlineStr">
        <is>
          <t>4,310 千</t>
        </is>
      </c>
      <c r="D6" s="12" t="inlineStr">
        <is>
          <t>17.2 GB</t>
        </is>
      </c>
      <c r="E6" s="12" t="inlineStr">
        <is>
          <t>4.3 GB</t>
        </is>
      </c>
      <c r="F6" s="12" t="inlineStr">
        <is>
          <t>6.5 GB</t>
        </is>
      </c>
      <c r="G6" s="10" t="inlineStr"/>
    </row>
    <row r="7">
      <c r="B7" s="10" t="inlineStr">
        <is>
          <t>2027/12 見込み</t>
        </is>
      </c>
      <c r="C7" s="12" t="inlineStr">
        <is>
          <t>9,800 千</t>
        </is>
      </c>
      <c r="D7" s="12" t="inlineStr">
        <is>
          <t>39.2 GB</t>
        </is>
      </c>
      <c r="E7" s="12" t="inlineStr">
        <is>
          <t>9.8 GB</t>
        </is>
      </c>
      <c r="F7" s="12" t="inlineStr">
        <is>
          <t>14.7 GB</t>
        </is>
      </c>
      <c r="G7" s="10" t="inlineStr">
        <is>
          <t>現行ディスク（100GB）に収まる</t>
        </is>
      </c>
    </row>
    <row r="10">
      <c r="B10" s="13" t="inlineStr">
        <is>
          <t>※ 2026/05 に int8 量子化を導入。品質保証部の取り込みが初版の試算（月 40 万チャンク）の 3 倍になり、float のままでは2026 年度内にディスクが逼迫する見込みだったため。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&amp;Lキャパシティ試算&amp;R&amp;P /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D10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48" customWidth="1" min="4" max="4"/>
  </cols>
  <sheetData>
    <row r="2">
      <c r="B2" s="9" t="inlineStr">
        <is>
          <t>4. 社内 GPU の見込み</t>
        </is>
      </c>
    </row>
    <row r="4" ht="24" customHeight="1">
      <c r="B4" s="8" t="inlineStr">
        <is>
          <t>項目</t>
        </is>
      </c>
      <c r="C4" s="8" t="inlineStr">
        <is>
          <t>値</t>
        </is>
      </c>
      <c r="D4" s="8" t="inlineStr">
        <is>
          <t>根拠</t>
        </is>
      </c>
    </row>
    <row r="5">
      <c r="B5" s="10" t="inlineStr">
        <is>
          <t>枚数</t>
        </is>
      </c>
      <c r="C5" s="10" t="inlineStr">
        <is>
          <t>A100 × 2</t>
        </is>
      </c>
      <c r="D5" s="10" t="inlineStr">
        <is>
          <t>極秘区分の埋め込み専用。試算は 1 枚で置く（残る 1 枚は再インデックスと障害時の予備）</t>
        </is>
      </c>
    </row>
    <row r="6">
      <c r="B6" s="10" t="inlineStr">
        <is>
          <t>1 回の処理件数</t>
        </is>
      </c>
      <c r="C6" s="10" t="inlineStr">
        <is>
          <t>32 件</t>
        </is>
      </c>
      <c r="D6" s="10" t="inlineStr">
        <is>
          <t>VRAM に載る範囲</t>
        </is>
      </c>
    </row>
    <row r="7">
      <c r="B7" s="10" t="inlineStr">
        <is>
          <t>1 呼び出しの所要</t>
        </is>
      </c>
      <c r="C7" s="10" t="inlineStr">
        <is>
          <t>2.4 秒</t>
        </is>
      </c>
      <c r="D7" s="10" t="inlineStr">
        <is>
          <t>実測。32 件あたりの所要（外部 API は 0.9 秒／128 件）</t>
        </is>
      </c>
    </row>
    <row r="8">
      <c r="B8" s="10" t="inlineStr">
        <is>
          <t>月間の処理能力</t>
        </is>
      </c>
      <c r="C8" s="10" t="inlineStr">
        <is>
          <t>約 768 万チャンク</t>
        </is>
      </c>
      <c r="D8" s="10" t="inlineStr">
        <is>
          <t>8 時間/日 × 20 日 = 576,000 秒 ÷ 2.4 秒 × 32 件（GPU 1 枚）</t>
        </is>
      </c>
    </row>
    <row r="9">
      <c r="B9" s="10" t="inlineStr">
        <is>
          <t>法務部の見込み</t>
        </is>
      </c>
      <c r="C9" s="10" t="inlineStr">
        <is>
          <t>月 1.8 万チャンク</t>
        </is>
      </c>
      <c r="D9" s="10" t="inlineStr">
        <is>
          <t>2.月次推移 の法務部（月 +18 千チャンク）。処理能力に余裕がある</t>
        </is>
      </c>
    </row>
    <row r="10">
      <c r="B10" s="10" t="inlineStr">
        <is>
          <t>逼迫する条件</t>
        </is>
      </c>
      <c r="C10" s="10" t="inlineStr">
        <is>
          <t>極秘テナントが 3 部門を超えたとき</t>
        </is>
      </c>
      <c r="D10" s="10" t="inlineStr">
        <is>
          <t>月間の総量には余裕があるが、A100 が 2 枚しかないので取り込みが重なると待ちが出る。増設の検討が必要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&amp;Lキャパシティ試算&amp;R&amp;P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